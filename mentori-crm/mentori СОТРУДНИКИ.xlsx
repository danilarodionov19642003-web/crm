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изнес-модель" sheetId="1" r:id="rId4"/>
  </sheets>
  <definedNames/>
  <calcPr/>
  <extLst>
    <ext uri="GoogleSheetsCustomDataVersion2">
      <go:sheetsCustomData xmlns:go="http://customooxmlschemas.google.com/" r:id="rId5" roundtripDataChecksum="ztdpOmfMtoNRpJBhiFykpijQY2TIeBkSsFEdY3B68F8="/>
    </ext>
  </extLst>
</workbook>
</file>

<file path=xl/sharedStrings.xml><?xml version="1.0" encoding="utf-8"?>
<sst xmlns="http://schemas.openxmlformats.org/spreadsheetml/2006/main" count="43" uniqueCount="40">
  <si>
    <t>💼 Бизнес-модель Mentori — Расчёт ЗП сотрудника</t>
  </si>
  <si>
    <t>📥 ВВОДНЫЕ ДАННЫЕ (синие ячейки — редактируй)</t>
  </si>
  <si>
    <t>Цена за 1 тест (₽)</t>
  </si>
  <si>
    <t>Кол-во тестов в месяц</t>
  </si>
  <si>
    <t>ЗП сотруднику за 1 тест (₽)</t>
  </si>
  <si>
    <t>Стоимость 1 аккаунта (номер, ₽)</t>
  </si>
  <si>
    <t>Тестов с 1 аккаунта (в среднем)</t>
  </si>
  <si>
    <t>Прокси: кол-во аккаунтов на 1 прокси</t>
  </si>
  <si>
    <t>Прокси: стоимость (₽)</t>
  </si>
  <si>
    <t>Софт: лимит аккаунтов</t>
  </si>
  <si>
    <t>Софт: стоимость (₽)</t>
  </si>
  <si>
    <t>📊 РАСЧЁТ РАСХОДОВ</t>
  </si>
  <si>
    <t>Статья расходов</t>
  </si>
  <si>
    <t>Формула / логика</t>
  </si>
  <si>
    <t>Сумма (₽)</t>
  </si>
  <si>
    <t>На 1 тест (₽)</t>
  </si>
  <si>
    <t>Аккаунтов нужно (шт)</t>
  </si>
  <si>
    <t>Тестов ÷ тестов с 1 аккаунта</t>
  </si>
  <si>
    <t>Аккаунты (номера, ₽)</t>
  </si>
  <si>
    <t>Кол-во акк × цена акк</t>
  </si>
  <si>
    <t>Прокси (₽)</t>
  </si>
  <si>
    <t>Акк ÷ акк/прокси × цена прокси</t>
  </si>
  <si>
    <t>Софт (₽)</t>
  </si>
  <si>
    <t>CEILING(акк/{лимит}) × цена</t>
  </si>
  <si>
    <t>ЗП сотрудника (₽)</t>
  </si>
  <si>
    <t>Тесты × ЗП за тест</t>
  </si>
  <si>
    <t>ИТОГО РАСХОДОВ</t>
  </si>
  <si>
    <t>💰 ИТОГОВЫЕ ПОКАЗАТЕЛИ</t>
  </si>
  <si>
    <t>Выручка (₽)</t>
  </si>
  <si>
    <t>Расходы (₽)</t>
  </si>
  <si>
    <t>Твой доход (₽)</t>
  </si>
  <si>
    <t>Маржа (%)</t>
  </si>
  <si>
    <t>Доход на 1 тест (₽)</t>
  </si>
  <si>
    <t>📈 СЦЕНАРИИ (менять кол-во тестов)</t>
  </si>
  <si>
    <t>Сценарий</t>
  </si>
  <si>
    <t>Тестов/мес</t>
  </si>
  <si>
    <t>Текущий (без сотрудника)</t>
  </si>
  <si>
    <t>Следующий месяц</t>
  </si>
  <si>
    <t>Рост x2</t>
  </si>
  <si>
    <t>Рост x3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</si>
</sst>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&quot; ₽&quot;"/>
    <numFmt numFmtId="165" formatCode="#,##0.##"/>
    <numFmt numFmtId="166" formatCode="#,##0.00&quot; ₽&quot;"/>
    <numFmt numFmtId="167" formatCode="0.0%"/>
  </numFmts>
  <fonts count="15">
    <font>
      <sz val="11.0"/>
      <color theme="1"/>
      <name val="Calibri"/>
      <scheme val="minor"/>
    </font>
    <font>
      <b/>
      <sz val="14.0"/>
      <color rgb="FFFFFFFF"/>
      <name val="Arial"/>
    </font>
    <font/>
    <font>
      <b/>
      <sz val="11.0"/>
      <color rgb="FFFFFFFF"/>
      <name val="Arial"/>
    </font>
    <font>
      <sz val="11.0"/>
      <color rgb="FF000000"/>
      <name val="Arial"/>
    </font>
    <font>
      <b/>
      <sz val="11.0"/>
      <color rgb="FF0000FF"/>
      <name val="Arial"/>
    </font>
    <font>
      <b/>
      <sz val="10.0"/>
      <color rgb="FFFFFFFF"/>
      <name val="Arial"/>
    </font>
    <font>
      <i/>
      <sz val="9.0"/>
      <color rgb="FF555555"/>
      <name val="Arial"/>
    </font>
    <font>
      <b/>
      <sz val="11.0"/>
      <color rgb="FFC00000"/>
      <name val="Arial"/>
    </font>
    <font>
      <b/>
      <sz val="11.0"/>
      <color rgb="FF000000"/>
      <name val="Arial"/>
    </font>
    <font>
      <sz val="11.0"/>
      <color theme="1"/>
      <name val="Calibri"/>
    </font>
    <font>
      <b/>
      <sz val="12.0"/>
      <color rgb="FF000000"/>
      <name val="Arial"/>
    </font>
    <font>
      <b/>
      <sz val="12.0"/>
      <color rgb="FFC00000"/>
      <name val="Arial"/>
    </font>
    <font>
      <b/>
      <sz val="12.0"/>
      <color rgb="FF2E75B6"/>
      <name val="Arial"/>
    </font>
    <font>
      <b/>
      <sz val="12.0"/>
      <color rgb="FF375623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EBF5FB"/>
        <bgColor rgb="FFEBF5FB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  <fill>
      <patternFill patternType="solid">
        <fgColor rgb="FFEBF1DE"/>
        <bgColor rgb="FFEBF1DE"/>
      </patternFill>
    </fill>
    <fill>
      <patternFill patternType="solid">
        <fgColor rgb="FFDCE6F1"/>
        <bgColor rgb="FFDCE6F1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0"/>
    </xf>
    <xf borderId="4" fillId="0" fontId="4" numFmtId="0" xfId="0" applyAlignment="1" applyBorder="1" applyFont="1">
      <alignment horizontal="left" shrinkToFit="0" vertical="center" wrapText="1"/>
    </xf>
    <xf borderId="4" fillId="4" fontId="5" numFmtId="164" xfId="0" applyAlignment="1" applyBorder="1" applyFill="1" applyFont="1" applyNumberFormat="1">
      <alignment horizontal="center" readingOrder="0" shrinkToFit="0" vertical="center" wrapText="0"/>
    </xf>
    <xf borderId="4" fillId="4" fontId="5" numFmtId="165" xfId="0" applyAlignment="1" applyBorder="1" applyFont="1" applyNumberFormat="1">
      <alignment horizontal="center" shrinkToFit="0" vertical="center" wrapText="0"/>
    </xf>
    <xf borderId="4" fillId="4" fontId="5" numFmtId="164" xfId="0" applyAlignment="1" applyBorder="1" applyFont="1" applyNumberFormat="1">
      <alignment horizontal="center" shrinkToFit="0" vertical="center" wrapText="0"/>
    </xf>
    <xf borderId="4" fillId="3" fontId="6" numFmtId="0" xfId="0" applyAlignment="1" applyBorder="1" applyFont="1">
      <alignment horizontal="center" shrinkToFit="0" vertical="center" wrapText="0"/>
    </xf>
    <xf borderId="4" fillId="0" fontId="7" numFmtId="0" xfId="0" applyAlignment="1" applyBorder="1" applyFont="1">
      <alignment horizontal="center" shrinkToFit="0" vertical="center" wrapText="0"/>
    </xf>
    <xf borderId="4" fillId="0" fontId="4" numFmtId="3" xfId="0" applyAlignment="1" applyBorder="1" applyFont="1" applyNumberFormat="1">
      <alignment horizontal="center" shrinkToFit="0" vertical="bottom" wrapText="0"/>
    </xf>
    <xf borderId="4" fillId="0" fontId="4" numFmtId="4" xfId="0" applyAlignment="1" applyBorder="1" applyFont="1" applyNumberFormat="1">
      <alignment horizontal="center" shrinkToFit="0" vertical="bottom" wrapText="0"/>
    </xf>
    <xf borderId="4" fillId="0" fontId="4" numFmtId="164" xfId="0" applyAlignment="1" applyBorder="1" applyFont="1" applyNumberFormat="1">
      <alignment horizontal="center" shrinkToFit="0" vertical="bottom" wrapText="0"/>
    </xf>
    <xf borderId="4" fillId="0" fontId="4" numFmtId="166" xfId="0" applyAlignment="1" applyBorder="1" applyFont="1" applyNumberFormat="1">
      <alignment horizontal="center" shrinkToFit="0" vertical="bottom" wrapText="0"/>
    </xf>
    <xf borderId="4" fillId="5" fontId="8" numFmtId="0" xfId="0" applyAlignment="1" applyBorder="1" applyFill="1" applyFont="1">
      <alignment horizontal="left" shrinkToFit="0" vertical="center" wrapText="0"/>
    </xf>
    <xf borderId="4" fillId="5" fontId="8" numFmtId="0" xfId="0" applyAlignment="1" applyBorder="1" applyFont="1">
      <alignment horizontal="center" shrinkToFit="0" vertical="center" wrapText="0"/>
    </xf>
    <xf borderId="4" fillId="5" fontId="8" numFmtId="164" xfId="0" applyAlignment="1" applyBorder="1" applyFont="1" applyNumberFormat="1">
      <alignment horizontal="center" shrinkToFit="0" vertical="center" wrapText="0"/>
    </xf>
    <xf borderId="4" fillId="5" fontId="8" numFmtId="166" xfId="0" applyAlignment="1" applyBorder="1" applyFont="1" applyNumberFormat="1">
      <alignment horizontal="center" shrinkToFit="0" vertical="center" wrapText="0"/>
    </xf>
    <xf borderId="1" fillId="6" fontId="3" numFmtId="0" xfId="0" applyAlignment="1" applyBorder="1" applyFill="1" applyFont="1">
      <alignment horizontal="left" shrinkToFit="0" vertical="center" wrapText="0"/>
    </xf>
    <xf borderId="4" fillId="0" fontId="9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shrinkToFit="0" vertical="bottom" wrapText="0"/>
    </xf>
    <xf borderId="5" fillId="7" fontId="11" numFmtId="164" xfId="0" applyAlignment="1" applyBorder="1" applyFill="1" applyFont="1" applyNumberFormat="1">
      <alignment horizontal="center" shrinkToFit="0" vertical="center" wrapText="0"/>
    </xf>
    <xf borderId="6" fillId="0" fontId="2" numFmtId="0" xfId="0" applyBorder="1" applyFont="1"/>
    <xf borderId="5" fillId="5" fontId="12" numFmtId="164" xfId="0" applyAlignment="1" applyBorder="1" applyFont="1" applyNumberFormat="1">
      <alignment horizontal="center" shrinkToFit="0" vertical="center" wrapText="0"/>
    </xf>
    <xf borderId="5" fillId="8" fontId="13" numFmtId="164" xfId="0" applyAlignment="1" applyBorder="1" applyFill="1" applyFont="1" applyNumberFormat="1">
      <alignment horizontal="center" shrinkToFit="0" vertical="center" wrapText="0"/>
    </xf>
    <xf borderId="5" fillId="7" fontId="14" numFmtId="164" xfId="0" applyAlignment="1" applyBorder="1" applyFont="1" applyNumberFormat="1">
      <alignment horizontal="center" shrinkToFit="0" vertical="center" wrapText="0"/>
    </xf>
    <xf borderId="5" fillId="7" fontId="14" numFmtId="167" xfId="0" applyAlignment="1" applyBorder="1" applyFont="1" applyNumberFormat="1">
      <alignment horizontal="center" shrinkToFit="0" vertical="center" wrapText="0"/>
    </xf>
    <xf borderId="5" fillId="7" fontId="14" numFmtId="166" xfId="0" applyAlignment="1" applyBorder="1" applyFont="1" applyNumberFormat="1">
      <alignment horizontal="center" shrinkToFit="0" vertical="center" wrapText="0"/>
    </xf>
    <xf borderId="4" fillId="4" fontId="5" numFmtId="0" xfId="0" applyAlignment="1" applyBorder="1" applyFont="1">
      <alignment horizontal="center" shrinkToFit="0" vertical="center" wrapText="0"/>
    </xf>
    <xf borderId="4" fillId="0" fontId="4" numFmtId="164" xfId="0" applyAlignment="1" applyBorder="1" applyFont="1" applyNumberForma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4" width="22.0"/>
    <col customWidth="1" min="5" max="26" width="8.71"/>
  </cols>
  <sheetData>
    <row r="1" ht="36.0" customHeight="1">
      <c r="A1" s="1" t="s">
        <v>0</v>
      </c>
      <c r="B1" s="2"/>
      <c r="C1" s="2"/>
      <c r="D1" s="3"/>
    </row>
    <row r="2" ht="21.75" customHeight="1"/>
    <row r="3" ht="21.75" customHeight="1">
      <c r="A3" s="4" t="s">
        <v>1</v>
      </c>
      <c r="B3" s="2"/>
      <c r="C3" s="2"/>
      <c r="D3" s="3"/>
    </row>
    <row r="4" ht="21.75" customHeight="1">
      <c r="A4" s="5" t="s">
        <v>2</v>
      </c>
      <c r="B4" s="6">
        <v>1300.0</v>
      </c>
    </row>
    <row r="5" ht="21.75" customHeight="1">
      <c r="A5" s="5" t="s">
        <v>3</v>
      </c>
      <c r="B5" s="7">
        <v>80.0</v>
      </c>
    </row>
    <row r="6" ht="21.75" customHeight="1">
      <c r="A6" s="5" t="s">
        <v>4</v>
      </c>
      <c r="B6" s="6">
        <v>500.0</v>
      </c>
    </row>
    <row r="7" ht="30.0" customHeight="1">
      <c r="A7" s="5" t="s">
        <v>5</v>
      </c>
      <c r="B7" s="8">
        <v>100.0</v>
      </c>
    </row>
    <row r="8" ht="33.75" customHeight="1">
      <c r="A8" s="5" t="s">
        <v>6</v>
      </c>
      <c r="B8" s="7">
        <v>2.5</v>
      </c>
    </row>
    <row r="9" ht="34.5" customHeight="1">
      <c r="A9" s="5" t="s">
        <v>7</v>
      </c>
      <c r="B9" s="7">
        <v>15.0</v>
      </c>
    </row>
    <row r="10" ht="21.75" customHeight="1">
      <c r="A10" s="5" t="s">
        <v>8</v>
      </c>
      <c r="B10" s="8">
        <v>2250.0</v>
      </c>
    </row>
    <row r="11" ht="21.75" customHeight="1">
      <c r="A11" s="5" t="s">
        <v>9</v>
      </c>
      <c r="B11" s="7">
        <v>35.0</v>
      </c>
    </row>
    <row r="12" ht="21.75" customHeight="1">
      <c r="A12" s="5" t="s">
        <v>10</v>
      </c>
      <c r="B12" s="8">
        <v>1300.0</v>
      </c>
    </row>
    <row r="13" ht="21.75" customHeight="1"/>
    <row r="14" ht="21.75" customHeight="1">
      <c r="A14" s="4" t="s">
        <v>11</v>
      </c>
      <c r="B14" s="2"/>
      <c r="C14" s="2"/>
      <c r="D14" s="3"/>
    </row>
    <row r="15" ht="21.75" customHeight="1">
      <c r="A15" s="9" t="s">
        <v>12</v>
      </c>
      <c r="B15" s="9" t="s">
        <v>13</v>
      </c>
      <c r="C15" s="9" t="s">
        <v>14</v>
      </c>
      <c r="D15" s="9" t="s">
        <v>15</v>
      </c>
    </row>
    <row r="16" ht="21.75" customHeight="1">
      <c r="A16" s="5" t="s">
        <v>16</v>
      </c>
      <c r="B16" s="10" t="s">
        <v>17</v>
      </c>
      <c r="C16" s="11">
        <f>CEILING(B5/B8,1)</f>
        <v>32</v>
      </c>
      <c r="D16" s="12">
        <f>C16/B5</f>
        <v>0.4</v>
      </c>
    </row>
    <row r="17" ht="21.75" customHeight="1">
      <c r="A17" s="5" t="s">
        <v>18</v>
      </c>
      <c r="B17" s="10" t="s">
        <v>19</v>
      </c>
      <c r="C17" s="13">
        <f>C16*B7</f>
        <v>3200</v>
      </c>
      <c r="D17" s="14">
        <f>C17/B5</f>
        <v>40</v>
      </c>
    </row>
    <row r="18" ht="21.75" customHeight="1">
      <c r="A18" s="5" t="s">
        <v>20</v>
      </c>
      <c r="B18" s="10" t="s">
        <v>21</v>
      </c>
      <c r="C18" s="13">
        <f>CEILING(C16/B9,1)*B10</f>
        <v>6750</v>
      </c>
      <c r="D18" s="14">
        <f>C18/B5</f>
        <v>84.375</v>
      </c>
    </row>
    <row r="19" ht="21.75" customHeight="1">
      <c r="A19" s="5" t="s">
        <v>22</v>
      </c>
      <c r="B19" s="10" t="s">
        <v>23</v>
      </c>
      <c r="C19" s="13">
        <f>CEILING(C16/B11,1)*B12</f>
        <v>1300</v>
      </c>
      <c r="D19" s="14">
        <f>C19/B5</f>
        <v>16.25</v>
      </c>
    </row>
    <row r="20" ht="21.75" customHeight="1">
      <c r="A20" s="5" t="s">
        <v>24</v>
      </c>
      <c r="B20" s="10" t="s">
        <v>25</v>
      </c>
      <c r="C20" s="13">
        <f>B5*B6</f>
        <v>40000</v>
      </c>
      <c r="D20" s="14">
        <f>B6</f>
        <v>500</v>
      </c>
    </row>
    <row r="21" ht="21.75" customHeight="1">
      <c r="A21" s="15" t="s">
        <v>26</v>
      </c>
      <c r="B21" s="16"/>
      <c r="C21" s="17">
        <f>SUM(C17:C20)</f>
        <v>51250</v>
      </c>
      <c r="D21" s="18">
        <f>C21/B5</f>
        <v>640.625</v>
      </c>
    </row>
    <row r="22" ht="21.75" customHeight="1"/>
    <row r="23" ht="21.75" customHeight="1">
      <c r="A23" s="19" t="s">
        <v>27</v>
      </c>
      <c r="B23" s="2"/>
      <c r="C23" s="2"/>
      <c r="D23" s="3"/>
    </row>
    <row r="24" ht="24.0" customHeight="1">
      <c r="A24" s="20" t="s">
        <v>28</v>
      </c>
      <c r="B24" s="21"/>
      <c r="C24" s="22">
        <f>B5*B4</f>
        <v>104000</v>
      </c>
      <c r="D24" s="23"/>
    </row>
    <row r="25" ht="24.0" customHeight="1">
      <c r="A25" s="20" t="s">
        <v>29</v>
      </c>
      <c r="B25" s="21"/>
      <c r="C25" s="24">
        <f>C21</f>
        <v>51250</v>
      </c>
      <c r="D25" s="23"/>
    </row>
    <row r="26" ht="24.0" customHeight="1">
      <c r="A26" s="20" t="s">
        <v>24</v>
      </c>
      <c r="B26" s="21"/>
      <c r="C26" s="25">
        <f>B5*B6</f>
        <v>40000</v>
      </c>
      <c r="D26" s="23"/>
    </row>
    <row r="27" ht="24.0" customHeight="1">
      <c r="A27" s="20" t="s">
        <v>30</v>
      </c>
      <c r="B27" s="21"/>
      <c r="C27" s="26">
        <f>B5*B4-C21</f>
        <v>52750</v>
      </c>
      <c r="D27" s="23"/>
    </row>
    <row r="28" ht="24.0" customHeight="1">
      <c r="A28" s="20" t="s">
        <v>31</v>
      </c>
      <c r="B28" s="21"/>
      <c r="C28" s="27">
        <f>(B5*B4-C21)/(B5*B4)</f>
        <v>0.5072115385</v>
      </c>
      <c r="D28" s="23"/>
    </row>
    <row r="29" ht="24.0" customHeight="1">
      <c r="A29" s="20" t="s">
        <v>32</v>
      </c>
      <c r="B29" s="21"/>
      <c r="C29" s="28">
        <f>(B5*B4-C21)/B5</f>
        <v>659.375</v>
      </c>
      <c r="D29" s="23"/>
    </row>
    <row r="30" ht="21.75" customHeight="1"/>
    <row r="31" ht="21.75" customHeight="1">
      <c r="A31" s="4" t="s">
        <v>33</v>
      </c>
      <c r="B31" s="2"/>
      <c r="C31" s="2"/>
      <c r="D31" s="3"/>
    </row>
    <row r="32" ht="21.75" customHeight="1">
      <c r="A32" s="9" t="s">
        <v>34</v>
      </c>
      <c r="B32" s="9" t="s">
        <v>35</v>
      </c>
      <c r="C32" s="9" t="s">
        <v>30</v>
      </c>
      <c r="D32" s="9" t="s">
        <v>24</v>
      </c>
    </row>
    <row r="33" ht="21.75" customHeight="1">
      <c r="A33" s="5" t="s">
        <v>36</v>
      </c>
      <c r="B33" s="29">
        <v>60.0</v>
      </c>
      <c r="C33" s="30">
        <f>B33*B4-(CEILING(B33/B8,1)*B7+CEILING(CEILING(B33/B8,1)/B9,1)*B10+CEILING(CEILING(B33/B8,1)/B11,1)*B12+B33*B6)</f>
        <v>39800</v>
      </c>
      <c r="D33" s="30">
        <f>B33*B6</f>
        <v>30000</v>
      </c>
    </row>
    <row r="34" ht="21.75" customHeight="1">
      <c r="A34" s="5" t="s">
        <v>37</v>
      </c>
      <c r="B34" s="29">
        <v>80.0</v>
      </c>
      <c r="C34" s="30">
        <f>B34*B4-(CEILING(B34/B8,1)*B7+CEILING(CEILING(B34/B8,1)/B9,1)*B10+CEILING(CEILING(B34/B8,1)/B11,1)*B12+B34*B6)</f>
        <v>52750</v>
      </c>
      <c r="D34" s="30">
        <f>B34*B6</f>
        <v>40000</v>
      </c>
    </row>
    <row r="35" ht="21.75" customHeight="1">
      <c r="A35" s="5" t="s">
        <v>38</v>
      </c>
      <c r="B35" s="29">
        <v>120.0</v>
      </c>
      <c r="C35" s="30">
        <f>B35*B4-(CEILING(B35/B8,1)*B7+CEILING(CEILING(B35/B8,1)/B9,1)*B10+CEILING(CEILING(B35/B8,1)/B11,1)*B12+B35*B6)</f>
        <v>79600</v>
      </c>
      <c r="D35" s="30">
        <f>B35*B6</f>
        <v>60000</v>
      </c>
    </row>
    <row r="36" ht="21.75" customHeight="1">
      <c r="A36" s="5" t="s">
        <v>39</v>
      </c>
      <c r="B36" s="29">
        <v>160.0</v>
      </c>
      <c r="C36" s="30">
        <f>B36*B4-(CEILING(B36/B8,1)*B7+CEILING(CEILING(B36/B8,1)/B9,1)*B10+CEILING(CEILING(B36/B8,1)/B11,1)*B12+B36*B6)</f>
        <v>107750</v>
      </c>
      <c r="D36" s="30">
        <f>B36*B6</f>
        <v>80000</v>
      </c>
    </row>
    <row r="37" ht="21.75" customHeight="1"/>
    <row r="38" ht="21.75" customHeight="1"/>
    <row r="39" ht="21.75" customHeight="1"/>
    <row r="40" ht="21.75" customHeight="1"/>
    <row r="41" ht="21.75" customHeight="1"/>
    <row r="42" ht="21.75" customHeight="1"/>
    <row r="43" ht="21.75" customHeight="1"/>
    <row r="44" ht="21.75" customHeight="1"/>
    <row r="45" ht="21.75" customHeight="1"/>
    <row r="46" ht="21.75" customHeight="1"/>
    <row r="47" ht="21.75" customHeight="1"/>
    <row r="48" ht="21.75" customHeight="1"/>
    <row r="49" ht="21.75" customHeight="1"/>
    <row r="50" ht="21.75" customHeight="1"/>
    <row r="51" ht="21.75" customHeight="1"/>
    <row r="52" ht="21.75" customHeight="1"/>
    <row r="53" ht="21.75" customHeight="1"/>
    <row r="54" ht="21.75" customHeight="1"/>
    <row r="55" ht="21.75" customHeight="1"/>
    <row r="56" ht="21.75" customHeight="1"/>
    <row r="57" ht="21.75" customHeight="1"/>
    <row r="58" ht="21.75" customHeight="1"/>
    <row r="59" ht="21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C27:D27"/>
    <mergeCell ref="C28:D28"/>
    <mergeCell ref="C29:D29"/>
    <mergeCell ref="A31:D31"/>
    <mergeCell ref="A1:D1"/>
    <mergeCell ref="A3:D3"/>
    <mergeCell ref="A14:D14"/>
    <mergeCell ref="A23:D23"/>
    <mergeCell ref="C24:D24"/>
    <mergeCell ref="C25:D25"/>
    <mergeCell ref="C26:D2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2026-03-27T23:51:46Z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